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tanium\Downloads\"/>
    </mc:Choice>
  </mc:AlternateContent>
  <xr:revisionPtr revIDLastSave="0" documentId="13_ncr:1_{D91583D3-1367-41D0-9BC5-FC30CFB3C690}" xr6:coauthVersionLast="47" xr6:coauthVersionMax="47" xr10:uidLastSave="{00000000-0000-0000-0000-000000000000}"/>
  <bookViews>
    <workbookView xWindow="-120" yWindow="-120" windowWidth="29040" windowHeight="15720" tabRatio="55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3" l="1"/>
  <c r="D26" i="3"/>
</calcChain>
</file>

<file path=xl/sharedStrings.xml><?xml version="1.0" encoding="utf-8"?>
<sst xmlns="http://schemas.openxmlformats.org/spreadsheetml/2006/main" count="2030" uniqueCount="325">
  <si>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</si>
  <si>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</si>
  <si>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</si>
  <si>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</si>
  <si>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</si>
  <si>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</si>
  <si>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</si>
  <si>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</si>
  <si>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</si>
  <si>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</si>
  <si>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</si>
  <si>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</si>
  <si>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</si>
  <si>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</si>
  <si>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</si>
  <si>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</si>
  <si>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</si>
  <si>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</si>
  <si>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</si>
  <si>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</si>
  <si>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</si>
  <si>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</si>
  <si>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</si>
  <si>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</si>
  <si>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</si>
  <si>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</si>
  <si>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</si>
  <si>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</si>
  <si>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</si>
  <si>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</si>
  <si>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</si>
  <si>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</si>
  <si>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</si>
  <si>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</si>
  <si>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</si>
  <si>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</si>
  <si>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</si>
  <si>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</si>
  <si>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</si>
  <si>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</si>
  <si>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</si>
  <si>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</si>
  <si>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</si>
  <si>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</si>
  <si>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</si>
  <si>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</si>
  <si>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</si>
  <si>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</si>
  <si>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</si>
  <si>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</si>
  <si>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</si>
  <si>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</si>
  <si>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</si>
  <si>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</si>
  <si>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</si>
  <si>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</si>
  <si>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</si>
  <si>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</si>
  <si>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</si>
  <si>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</si>
  <si>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</si>
  <si>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</si>
  <si>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</si>
  <si>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</si>
  <si>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</si>
  <si>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</si>
  <si>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</si>
  <si>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</si>
  <si>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</si>
  <si>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</si>
  <si>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</si>
  <si>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</si>
  <si>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</si>
  <si>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</si>
  <si>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</si>
  <si>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</si>
  <si>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</si>
  <si>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</si>
  <si>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</si>
  <si>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</si>
  <si>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</si>
  <si>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</si>
  <si>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</si>
  <si>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</si>
  <si>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</si>
  <si>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</si>
  <si>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</si>
  <si>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</si>
  <si>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</si>
  <si>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</si>
  <si>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</si>
  <si>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</si>
  <si>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</si>
  <si>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</si>
  <si>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</si>
  <si>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</si>
  <si>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</si>
  <si>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</si>
  <si>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</si>
  <si>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</si>
  <si>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</si>
  <si>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</si>
  <si>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</si>
  <si>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</si>
  <si>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</si>
  <si>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</si>
  <si>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</si>
  <si>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</si>
  <si>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</si>
  <si>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</si>
  <si>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</si>
  <si>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</si>
  <si>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</si>
  <si>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</si>
  <si>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</si>
  <si>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</si>
  <si>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</si>
  <si>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</si>
  <si>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</si>
  <si>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</si>
  <si>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</si>
  <si>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</si>
  <si>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</si>
  <si>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</si>
  <si>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</si>
  <si>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</si>
  <si>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</si>
  <si>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</si>
  <si>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</si>
  <si>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</si>
  <si>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</si>
  <si>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</si>
  <si>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</si>
  <si>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</si>
  <si>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</si>
  <si>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</si>
  <si>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</si>
  <si>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</si>
  <si>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</si>
  <si>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</si>
  <si>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</si>
  <si>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</si>
  <si>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</si>
  <si>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</si>
  <si>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</si>
  <si>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</si>
  <si>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</si>
  <si>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</si>
  <si>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</si>
  <si>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</si>
  <si>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</si>
  <si>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</si>
  <si>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</si>
  <si>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</si>
  <si>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</si>
  <si>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</si>
  <si>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</si>
  <si>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</si>
  <si>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</si>
  <si>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</si>
  <si>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</si>
  <si>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</si>
  <si>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</si>
  <si>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</si>
  <si>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</si>
  <si>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</si>
  <si>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</si>
  <si>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</si>
  <si>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</si>
  <si>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</si>
  <si>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</si>
  <si>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</si>
  <si>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</si>
  <si>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</si>
  <si>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</si>
  <si>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</si>
  <si>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</si>
  <si>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</si>
  <si>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</si>
  <si>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</si>
  <si>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</si>
  <si>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</si>
  <si>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</si>
  <si>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</si>
  <si>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</si>
  <si>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</si>
  <si>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</si>
  <si>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</si>
  <si>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</si>
  <si>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</si>
  <si>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</si>
  <si>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</si>
  <si>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</si>
  <si>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</si>
  <si>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</si>
  <si>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</si>
  <si>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</si>
  <si>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</si>
  <si>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</si>
  <si>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</si>
  <si>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</si>
  <si>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</si>
  <si>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</si>
  <si>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</si>
  <si>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</si>
  <si>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</si>
  <si>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</si>
  <si>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</si>
  <si>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</si>
  <si>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</si>
  <si>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</si>
  <si>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</si>
  <si>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</si>
  <si>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</si>
  <si>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</si>
  <si>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</si>
  <si>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</si>
  <si>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</si>
  <si>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</si>
  <si>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</si>
  <si>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</si>
  <si>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</si>
  <si>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</si>
  <si>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</si>
  <si>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</si>
  <si>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</si>
  <si>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</si>
  <si>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</si>
  <si>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</si>
  <si>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</si>
  <si>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</si>
  <si>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</si>
  <si>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</si>
  <si>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</si>
  <si>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</si>
  <si>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</si>
  <si>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</si>
  <si>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</si>
  <si>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</si>
  <si>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</si>
  <si>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</si>
  <si>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</si>
  <si>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</si>
  <si>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</si>
  <si>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</si>
  <si>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</si>
  <si>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</si>
  <si>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</si>
  <si>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</si>
  <si>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</si>
  <si>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</si>
  <si>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</si>
  <si>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</si>
  <si>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</si>
  <si>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</si>
  <si>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</si>
  <si>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</si>
  <si>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</si>
  <si>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</si>
  <si>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</si>
  <si>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</si>
  <si>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</si>
  <si>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</si>
  <si>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</si>
  <si>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</si>
  <si>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</si>
  <si>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</si>
  <si>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</si>
  <si>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</si>
  <si>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</si>
  <si>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</si>
  <si>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</si>
  <si>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</si>
  <si>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</si>
  <si>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</si>
  <si>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</si>
  <si>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</si>
  <si>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</si>
  <si>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</si>
  <si>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</si>
  <si>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</si>
  <si>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</si>
  <si>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</si>
  <si>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</si>
  <si>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</si>
  <si>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</si>
  <si>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</si>
  <si>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</si>
  <si>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</si>
  <si>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</si>
  <si>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</si>
  <si>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</si>
  <si>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</si>
  <si>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</si>
  <si>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</si>
  <si>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</si>
  <si>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</si>
  <si>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</si>
  <si>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</si>
  <si>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</si>
  <si>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</si>
  <si>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</si>
  <si>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</si>
  <si>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</si>
  <si>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</si>
  <si>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</si>
  <si>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</si>
  <si>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</si>
  <si>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</si>
  <si>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</si>
  <si>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</si>
  <si>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</si>
  <si>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</si>
  <si>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</si>
  <si>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</si>
  <si>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</si>
  <si>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
</t>
  </si>
  <si>
    <r>
      <t xml:space="preserve">Pergunta de Negócio 1 –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</si>
  <si>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– Qual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é por auto renovação</t>
    </r>
  </si>
  <si>
    <t>XBOX GAME PASS SUBSCRIPTIONS SALES</t>
  </si>
  <si>
    <t>Soma de EA Play Season Pass</t>
  </si>
  <si>
    <t>Pergunta de Negócio 3 - Total de Vendas de Assinaturas do EA Play</t>
  </si>
  <si>
    <t>Pergunta de Negócio 4 - Total de Vendas de Assinaturas do Minecraft Season Pass</t>
  </si>
  <si>
    <t>Soma de Minecraft Season Pass Price</t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</si>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</sst>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4" tint="0.39997558519241921"/>
      <name val="Segoi ui"/>
    </font>
    <font>
      <b/>
      <sz val="15"/>
      <color theme="4" tint="0.39997558519241921"/>
      <name val="Segoi ui"/>
    </font>
    <font>
      <sz val="11"/>
      <color theme="4" tint="0.3999755851924192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2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2" fillId="8" borderId="0" xfId="3"/>
    <xf numFmtId="0" fontId="0" fillId="0" borderId="0" xfId="0" applyBorder="1"/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6" fillId="0" borderId="2" xfId="0" applyFont="1" applyBorder="1"/>
  </cellXfs>
  <cellStyles count="4">
    <cellStyle name="40% - Ênfase1" xfId="3" builtinId="31"/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FB7BD42D-1321-434B-878C-5CE96755B1CC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 - Copia.xlsx]C̳álculos!Tabela dinâmica2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C̳álculos!$F$12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88-49B0-90FA-EE11404D26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8-49B0-90FA-EE11404D26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C̳álculos!$E$13:$E$16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Ultimate</c:v>
                  </c:pt>
                </c:lvl>
              </c:multiLvlStrCache>
            </c:multiLvlStrRef>
          </c:cat>
          <c:val>
            <c:numRef>
              <c:f>C̳álculos!$F$13:$F$16</c:f>
              <c:numCache>
                <c:formatCode>General</c:formatCode>
                <c:ptCount val="2"/>
                <c:pt idx="0">
                  <c:v>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5-4B31-96F5-76F69B75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 - Copia.xlsx]C̳álculos!tbl_annual_total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4D2-45D2-9F31-DB3F5C5D00D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D2-45D2-9F31-DB3F5C5D00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D2-45D2-9F31-DB3F5C5D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265968"/>
        <c:axId val="1891277488"/>
      </c:barChart>
      <c:catAx>
        <c:axId val="189126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1277488"/>
        <c:crosses val="autoZero"/>
        <c:auto val="1"/>
        <c:lblAlgn val="ctr"/>
        <c:lblOffset val="100"/>
        <c:noMultiLvlLbl val="0"/>
      </c:catAx>
      <c:valAx>
        <c:axId val="18912774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912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3.jpe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638174</xdr:colOff>
      <xdr:row>5</xdr:row>
      <xdr:rowOff>23812</xdr:rowOff>
    </xdr:from>
    <xdr:to>
      <xdr:col>9</xdr:col>
      <xdr:colOff>209549</xdr:colOff>
      <xdr:row>16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DB0577-74E3-D6C1-00D7-BBE2297C7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2197893</xdr:colOff>
      <xdr:row>0</xdr:row>
      <xdr:rowOff>145257</xdr:rowOff>
    </xdr:from>
    <xdr:to>
      <xdr:col>2</xdr:col>
      <xdr:colOff>595266</xdr:colOff>
      <xdr:row>2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7DAF90-D5B9-443B-9D0E-5272F5AB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21" b="14121"/>
        <a:stretch/>
      </xdr:blipFill>
      <xdr:spPr>
        <a:xfrm>
          <a:off x="2197893" y="145257"/>
          <a:ext cx="1045323" cy="750093"/>
        </a:xfrm>
        <a:prstGeom prst="rect">
          <a:avLst/>
        </a:prstGeom>
      </xdr:spPr>
    </xdr:pic>
    <xdr:clientData/>
  </xdr:twoCellAnchor>
  <xdr:twoCellAnchor editAs="oneCell">
    <xdr:from>
      <xdr:col>0</xdr:col>
      <xdr:colOff>71438</xdr:colOff>
      <xdr:row>5</xdr:row>
      <xdr:rowOff>16667</xdr:rowOff>
    </xdr:from>
    <xdr:to>
      <xdr:col>0</xdr:col>
      <xdr:colOff>2012157</xdr:colOff>
      <xdr:row>16</xdr:row>
      <xdr:rowOff>111918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D505098-124D-4CE0-A95D-1A6D5DC89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493042"/>
              <a:ext cx="1940719" cy="2190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95248</xdr:colOff>
      <xdr:row>4</xdr:row>
      <xdr:rowOff>141684</xdr:rowOff>
    </xdr:from>
    <xdr:to>
      <xdr:col>9</xdr:col>
      <xdr:colOff>95248</xdr:colOff>
      <xdr:row>12</xdr:row>
      <xdr:rowOff>82153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0C591BD-F15E-119D-D805-0955B2B2D955}"/>
            </a:ext>
          </a:extLst>
        </xdr:cNvPr>
        <xdr:cNvGrpSpPr/>
      </xdr:nvGrpSpPr>
      <xdr:grpSpPr>
        <a:xfrm>
          <a:off x="2743198" y="1427559"/>
          <a:ext cx="4867275" cy="1464469"/>
          <a:chOff x="2643187" y="1285875"/>
          <a:chExt cx="4250531" cy="146446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B6DCF31-061F-2010-57DD-F8E632747E70}"/>
              </a:ext>
            </a:extLst>
          </xdr:cNvPr>
          <xdr:cNvSpPr/>
        </xdr:nvSpPr>
        <xdr:spPr>
          <a:xfrm>
            <a:off x="2643187" y="1726405"/>
            <a:ext cx="4250531" cy="1023939"/>
          </a:xfrm>
          <a:prstGeom prst="roundRect">
            <a:avLst>
              <a:gd name="adj" fmla="val 48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$D$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8E98D15-72E0-4A55-828E-F1BA40C724C5}"/>
              </a:ext>
            </a:extLst>
          </xdr:cNvPr>
          <xdr:cNvSpPr/>
        </xdr:nvSpPr>
        <xdr:spPr>
          <a:xfrm>
            <a:off x="3774280" y="1927622"/>
            <a:ext cx="2559846" cy="621505"/>
          </a:xfrm>
          <a:prstGeom prst="roundRect">
            <a:avLst>
              <a:gd name="adj" fmla="val 48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CF13F3B-5F05-4521-AE89-EDA50C816A83}" type="TxLink">
              <a:rPr lang="en-US" sz="28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8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B66E2FA-0D3D-464C-BC6F-1CFD7EF5BB8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000" b="17500"/>
          <a:stretch>
            <a:fillRect/>
          </a:stretch>
        </xdr:blipFill>
        <xdr:spPr>
          <a:xfrm>
            <a:off x="2797968" y="1910952"/>
            <a:ext cx="1047751" cy="65484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B1E0350-5148-A7F1-9B80-9711E7CA2D75}"/>
              </a:ext>
            </a:extLst>
          </xdr:cNvPr>
          <xdr:cNvSpPr/>
        </xdr:nvSpPr>
        <xdr:spPr>
          <a:xfrm>
            <a:off x="2643187" y="1285875"/>
            <a:ext cx="4250531" cy="476250"/>
          </a:xfrm>
          <a:prstGeom prst="round2SameRect">
            <a:avLst/>
          </a:prstGeom>
          <a:solidFill>
            <a:schemeClr val="tx2">
              <a:lumMod val="10000"/>
              <a:lumOff val="9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1"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500062</xdr:colOff>
      <xdr:row>4</xdr:row>
      <xdr:rowOff>141684</xdr:rowOff>
    </xdr:from>
    <xdr:to>
      <xdr:col>17</xdr:col>
      <xdr:colOff>69056</xdr:colOff>
      <xdr:row>12</xdr:row>
      <xdr:rowOff>82153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CC00A94-2EEC-186C-2920-492BB6E87FCD}"/>
            </a:ext>
          </a:extLst>
        </xdr:cNvPr>
        <xdr:cNvGrpSpPr/>
      </xdr:nvGrpSpPr>
      <xdr:grpSpPr>
        <a:xfrm>
          <a:off x="8015287" y="1427559"/>
          <a:ext cx="4941094" cy="1464469"/>
          <a:chOff x="7108031" y="1450181"/>
          <a:chExt cx="4260056" cy="1464469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C6FF209-5AAA-6252-30E5-91F2C30A1655}"/>
              </a:ext>
            </a:extLst>
          </xdr:cNvPr>
          <xdr:cNvGrpSpPr/>
        </xdr:nvGrpSpPr>
        <xdr:grpSpPr>
          <a:xfrm>
            <a:off x="7108031" y="1450181"/>
            <a:ext cx="4260056" cy="1464469"/>
            <a:chOff x="7108031" y="1450181"/>
            <a:chExt cx="4260056" cy="1464469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8BB0CDD-C49B-F5D5-696A-6FEAB0B54D03}"/>
                </a:ext>
              </a:extLst>
            </xdr:cNvPr>
            <xdr:cNvSpPr/>
          </xdr:nvSpPr>
          <xdr:spPr>
            <a:xfrm>
              <a:off x="7108031" y="1890711"/>
              <a:ext cx="4260056" cy="1023939"/>
            </a:xfrm>
            <a:prstGeom prst="roundRect">
              <a:avLst>
                <a:gd name="adj" fmla="val 48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$D$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0DB9205E-6E69-A082-2106-4F67AAD4DF05}"/>
                </a:ext>
              </a:extLst>
            </xdr:cNvPr>
            <xdr:cNvSpPr/>
          </xdr:nvSpPr>
          <xdr:spPr>
            <a:xfrm>
              <a:off x="8248648" y="2091928"/>
              <a:ext cx="2559846" cy="621505"/>
            </a:xfrm>
            <a:prstGeom prst="roundRect">
              <a:avLst>
                <a:gd name="adj" fmla="val 48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4C403E0A-CF73-41A1-BFB5-FAAEA0FA5DD4}" type="TxLink">
                <a:rPr lang="en-US" sz="28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pPr marL="0" indent="0" algn="ctr"/>
                <a:t>R$ 940,00</a:t>
              </a:fld>
              <a:endParaRPr lang="pt-BR" sz="2800" b="1" i="0" u="none" strike="noStrike">
                <a:solidFill>
                  <a:srgbClr val="5BF6A8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8DFE4387-6EE8-EAF5-86B0-E9A6185FC949}"/>
                </a:ext>
              </a:extLst>
            </xdr:cNvPr>
            <xdr:cNvSpPr/>
          </xdr:nvSpPr>
          <xdr:spPr>
            <a:xfrm>
              <a:off x="7117555" y="1450181"/>
              <a:ext cx="4250531" cy="476250"/>
            </a:xfrm>
            <a:prstGeom prst="round2SameRect">
              <a:avLst/>
            </a:prstGeom>
            <a:solidFill>
              <a:schemeClr val="tx2">
                <a:lumMod val="10000"/>
                <a:lumOff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1"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 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D0F49D21-0E3B-4188-81E5-4FA0F6A282D8}"/>
              </a:ext>
            </a:extLst>
          </xdr:cNvPr>
          <xdr:cNvGrpSpPr/>
        </xdr:nvGrpSpPr>
        <xdr:grpSpPr>
          <a:xfrm>
            <a:off x="7298531" y="2059781"/>
            <a:ext cx="904875" cy="535781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9667853D-790D-07DC-B6C7-DB6AEE665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5DE0A60C-11F0-03ED-F53E-AF73DBBA6C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47624</xdr:colOff>
      <xdr:row>13</xdr:row>
      <xdr:rowOff>129777</xdr:rowOff>
    </xdr:from>
    <xdr:to>
      <xdr:col>17</xdr:col>
      <xdr:colOff>154781</xdr:colOff>
      <xdr:row>31</xdr:row>
      <xdr:rowOff>130970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74B785C-A150-4018-E09A-4F5B7F452891}"/>
            </a:ext>
          </a:extLst>
        </xdr:cNvPr>
        <xdr:cNvGrpSpPr/>
      </xdr:nvGrpSpPr>
      <xdr:grpSpPr>
        <a:xfrm>
          <a:off x="2695574" y="3130152"/>
          <a:ext cx="10346532" cy="3430193"/>
          <a:chOff x="2369344" y="3773089"/>
          <a:chExt cx="9048750" cy="343019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028FBB5-439A-E89F-117D-39342A2EDA97}"/>
              </a:ext>
            </a:extLst>
          </xdr:cNvPr>
          <xdr:cNvGrpSpPr/>
        </xdr:nvGrpSpPr>
        <xdr:grpSpPr>
          <a:xfrm>
            <a:off x="2369344" y="4250532"/>
            <a:ext cx="9048750" cy="2952750"/>
            <a:chOff x="2536032" y="1607344"/>
            <a:chExt cx="5214937" cy="2952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0527F9E-FE07-EDDC-609C-FE995F9ACD3A}"/>
                </a:ext>
              </a:extLst>
            </xdr:cNvPr>
            <xdr:cNvSpPr/>
          </xdr:nvSpPr>
          <xdr:spPr>
            <a:xfrm>
              <a:off x="2536032" y="1607344"/>
              <a:ext cx="5214937" cy="2952750"/>
            </a:xfrm>
            <a:prstGeom prst="roundRect">
              <a:avLst>
                <a:gd name="adj" fmla="val 255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6017A82-93CD-4DB6-AF66-0216968AD07C}"/>
                </a:ext>
              </a:extLst>
            </xdr:cNvPr>
            <xdr:cNvGraphicFramePr>
              <a:graphicFrameLocks/>
            </xdr:cNvGraphicFramePr>
          </xdr:nvGraphicFramePr>
          <xdr:xfrm>
            <a:off x="2601681" y="1905000"/>
            <a:ext cx="5082272" cy="26074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45160D84-7943-4A91-812A-FFF4098352C8}"/>
              </a:ext>
            </a:extLst>
          </xdr:cNvPr>
          <xdr:cNvSpPr/>
        </xdr:nvSpPr>
        <xdr:spPr>
          <a:xfrm>
            <a:off x="2381249" y="3773089"/>
            <a:ext cx="9024938" cy="536973"/>
          </a:xfrm>
          <a:prstGeom prst="round2SameRect">
            <a:avLst/>
          </a:prstGeom>
          <a:solidFill>
            <a:schemeClr val="tx2">
              <a:lumMod val="10000"/>
              <a:lumOff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1"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47621</xdr:colOff>
      <xdr:row>2</xdr:row>
      <xdr:rowOff>242886</xdr:rowOff>
    </xdr:from>
    <xdr:to>
      <xdr:col>9</xdr:col>
      <xdr:colOff>392784</xdr:colOff>
      <xdr:row>4</xdr:row>
      <xdr:rowOff>19849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4D1202EE-0E9D-47C7-99E6-D0FBEFFA9DD7}"/>
            </a:ext>
          </a:extLst>
        </xdr:cNvPr>
        <xdr:cNvSpPr/>
      </xdr:nvSpPr>
      <xdr:spPr>
        <a:xfrm>
          <a:off x="2357434" y="1076324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01/01/202 - 31/12/2024 | Update date: 15/02/2026 09:00:00</a:t>
          </a:r>
        </a:p>
      </xdr:txBody>
    </xdr:sp>
    <xdr:clientData/>
  </xdr:twoCellAnchor>
  <xdr:twoCellAnchor editAs="absolute">
    <xdr:from>
      <xdr:col>0</xdr:col>
      <xdr:colOff>166689</xdr:colOff>
      <xdr:row>3</xdr:row>
      <xdr:rowOff>23808</xdr:rowOff>
    </xdr:from>
    <xdr:to>
      <xdr:col>0</xdr:col>
      <xdr:colOff>2012158</xdr:colOff>
      <xdr:row>4</xdr:row>
      <xdr:rowOff>130964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AEF8ED4-8BFA-7136-B8A1-1ECC448AB975}"/>
            </a:ext>
          </a:extLst>
        </xdr:cNvPr>
        <xdr:cNvSpPr/>
      </xdr:nvSpPr>
      <xdr:spPr>
        <a:xfrm>
          <a:off x="166689" y="1119183"/>
          <a:ext cx="1845469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🔸</a:t>
          </a:r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 vinda,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Nando</a:t>
          </a:r>
        </a:p>
        <a:p>
          <a:pPr algn="l"/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595400</xdr:colOff>
      <xdr:row>1</xdr:row>
      <xdr:rowOff>152400</xdr:rowOff>
    </xdr:from>
    <xdr:to>
      <xdr:col>0</xdr:col>
      <xdr:colOff>1581150</xdr:colOff>
      <xdr:row>2</xdr:row>
      <xdr:rowOff>161925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BEA0B07-1A00-4E4A-B3EF-E39D0841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5400" y="342900"/>
          <a:ext cx="985750" cy="6572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nca Esteves" refreshedDate="45842.830100925923" createdVersion="8" refreshedVersion="8" minRefreshableVersion="3" recordCount="295" xr:uid="{6E8A6551-C165-4711-9BF0-3E4E1CFB16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58981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C0B66-3134-4187-968C-F4D9A255018D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3">
  <location ref="E12:F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2">
    <field x="2"/>
    <field x="4"/>
  </rowFields>
  <rowItems count="4">
    <i>
      <x v="2"/>
    </i>
    <i r="1">
      <x/>
    </i>
    <i r="1">
      <x v="1"/>
    </i>
    <i t="grand">
      <x/>
    </i>
  </rowItems>
  <colItems count="1">
    <i/>
  </colItems>
  <pageFields count="1">
    <pageField fld="6" hier="-1"/>
  </pageFields>
  <dataFields count="1">
    <dataField name="Contagem de Auto Renewal" fld="4" subtotal="count" baseField="0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12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4372D-5FA4-4D39-A823-117104DA9B5A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FD622-9D36-48FE-AA15-DA8A6B2268DC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0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00A49-8FC8-4354-9DB9-0FC7FABD787D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0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3777DEB-00E5-46A9-AABF-5006B4D7C370}" sourceName="Subscription Type">
  <pivotTables>
    <pivotTable tabId="3" name="tbl_annual_total"/>
    <pivotTable tabId="3" name="tbl_easeasonpass_total"/>
    <pivotTable tabId="3" name="Tabela dinâmica1"/>
    <pivotTable tabId="3" name="Tabela dinâmica2"/>
  </pivotTables>
  <data>
    <tabular pivotCacheId="3589815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818031B-8DA7-4DFF-9062-6B02CB32FB95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No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D26" sqref="D2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" sqref="E1:E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23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20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B1" workbookViewId="0">
      <selection activeCell="F17" sqref="F17"/>
    </sheetView>
  </sheetViews>
  <sheetFormatPr defaultRowHeight="14.25"/>
  <cols>
    <col min="2" max="2" width="18" bestFit="1" customWidth="1"/>
    <col min="3" max="3" width="35.125" bestFit="1" customWidth="1"/>
    <col min="4" max="4" width="21.5" bestFit="1" customWidth="1"/>
    <col min="5" max="5" width="18" bestFit="1" customWidth="1"/>
    <col min="6" max="6" width="25.7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 ht="15" customHeight="1">
      <c r="B3" s="15" t="s">
        <v>316</v>
      </c>
    </row>
    <row r="7" spans="2:6" ht="15">
      <c r="B7" t="s">
        <v>317</v>
      </c>
    </row>
    <row r="8" spans="2:6" ht="15">
      <c r="B8" t="s">
        <v>318</v>
      </c>
    </row>
    <row r="10" spans="2:6">
      <c r="B10" s="12" t="s">
        <v>16</v>
      </c>
      <c r="C10" t="s">
        <v>24</v>
      </c>
      <c r="E10" s="12" t="s">
        <v>16</v>
      </c>
      <c r="F10" t="s">
        <v>24</v>
      </c>
    </row>
    <row r="12" spans="2:6">
      <c r="B12" s="12" t="s">
        <v>313</v>
      </c>
      <c r="C12" t="s">
        <v>315</v>
      </c>
      <c r="E12" s="12" t="s">
        <v>313</v>
      </c>
      <c r="F12" t="s">
        <v>324</v>
      </c>
    </row>
    <row r="13" spans="2:6">
      <c r="B13" s="13" t="s">
        <v>23</v>
      </c>
      <c r="C13" s="14">
        <v>217</v>
      </c>
      <c r="E13" s="13" t="s">
        <v>18</v>
      </c>
      <c r="F13" s="18">
        <v>20</v>
      </c>
    </row>
    <row r="14" spans="2:6">
      <c r="B14" s="13" t="s">
        <v>19</v>
      </c>
      <c r="C14" s="14">
        <v>1537</v>
      </c>
      <c r="E14" s="17" t="s">
        <v>23</v>
      </c>
      <c r="F14" s="18">
        <v>2</v>
      </c>
    </row>
    <row r="15" spans="2:6">
      <c r="B15" s="13" t="s">
        <v>314</v>
      </c>
      <c r="C15" s="14">
        <v>1754</v>
      </c>
      <c r="E15" s="17" t="s">
        <v>19</v>
      </c>
      <c r="F15" s="18">
        <v>18</v>
      </c>
    </row>
    <row r="16" spans="2:6">
      <c r="E16" s="13" t="s">
        <v>314</v>
      </c>
      <c r="F16" s="18">
        <v>20</v>
      </c>
    </row>
    <row r="18" spans="2:4">
      <c r="B18" s="13" t="s">
        <v>321</v>
      </c>
    </row>
    <row r="20" spans="2:4">
      <c r="B20" s="12" t="s">
        <v>16</v>
      </c>
      <c r="C20" t="s">
        <v>24</v>
      </c>
    </row>
    <row r="22" spans="2:4">
      <c r="B22" s="12" t="s">
        <v>313</v>
      </c>
      <c r="C22" t="s">
        <v>320</v>
      </c>
    </row>
    <row r="23" spans="2:4">
      <c r="B23" s="13" t="s">
        <v>22</v>
      </c>
      <c r="C23" s="18">
        <v>0</v>
      </c>
    </row>
    <row r="24" spans="2:4">
      <c r="B24" s="13" t="s">
        <v>26</v>
      </c>
      <c r="C24" s="18">
        <v>0</v>
      </c>
    </row>
    <row r="25" spans="2:4">
      <c r="B25" s="13" t="s">
        <v>18</v>
      </c>
      <c r="C25" s="18">
        <v>600</v>
      </c>
    </row>
    <row r="26" spans="2:4">
      <c r="B26" s="13" t="s">
        <v>314</v>
      </c>
      <c r="C26" s="18">
        <v>600</v>
      </c>
      <c r="D26" s="16">
        <f>GETPIVOTDATA("EA Play Season Pass
Price",$B$22)</f>
        <v>600</v>
      </c>
    </row>
    <row r="28" spans="2:4">
      <c r="B28" t="s">
        <v>322</v>
      </c>
    </row>
    <row r="30" spans="2:4">
      <c r="B30" s="12" t="s">
        <v>16</v>
      </c>
      <c r="C30" t="s">
        <v>24</v>
      </c>
    </row>
    <row r="32" spans="2:4">
      <c r="B32" s="12" t="s">
        <v>313</v>
      </c>
      <c r="C32" t="s">
        <v>323</v>
      </c>
    </row>
    <row r="33" spans="2:4">
      <c r="B33" s="13" t="s">
        <v>22</v>
      </c>
      <c r="C33" s="14">
        <v>0</v>
      </c>
    </row>
    <row r="34" spans="2:4">
      <c r="B34" s="13" t="s">
        <v>26</v>
      </c>
      <c r="C34" s="14">
        <v>540</v>
      </c>
    </row>
    <row r="35" spans="2:4">
      <c r="B35" s="13" t="s">
        <v>18</v>
      </c>
      <c r="C35" s="14">
        <v>400</v>
      </c>
    </row>
    <row r="36" spans="2:4">
      <c r="B36" s="13" t="s">
        <v>314</v>
      </c>
      <c r="C36" s="14">
        <v>940</v>
      </c>
      <c r="D36" s="16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FC54"/>
  <sheetViews>
    <sheetView showGridLines="0" showRowColHeaders="0" tabSelected="1" zoomScaleNormal="100" workbookViewId="0">
      <selection activeCell="K3" sqref="K3"/>
    </sheetView>
  </sheetViews>
  <sheetFormatPr defaultColWidth="0" defaultRowHeight="14.25" zeroHeight="1"/>
  <cols>
    <col min="1" max="1" width="31.125" style="4" customWidth="1"/>
    <col min="2" max="2" width="3.625" customWidth="1"/>
    <col min="3" max="11" width="9.125" customWidth="1"/>
    <col min="12" max="12" width="6.625" customWidth="1"/>
    <col min="13" max="17" width="9.125" customWidth="1"/>
    <col min="18" max="18" width="6.625" customWidth="1"/>
    <col min="19" max="16383" width="9.125" hidden="1"/>
    <col min="16384" max="16384" width="2.875" hidden="1" customWidth="1"/>
  </cols>
  <sheetData>
    <row r="1" spans="1:18" ht="15" customHeight="1">
      <c r="A1" s="19"/>
    </row>
    <row r="2" spans="1:18" ht="51" customHeight="1">
      <c r="A2" s="19"/>
      <c r="C2" s="21" t="s">
        <v>319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3"/>
      <c r="R2" s="23"/>
    </row>
    <row r="3" spans="1:18" ht="20.25" customHeight="1">
      <c r="A3" s="19"/>
      <c r="F3" s="20"/>
    </row>
    <row r="4" spans="1:18" s="7" customFormat="1" ht="15" customHeight="1">
      <c r="A4" s="19"/>
    </row>
    <row r="5" spans="1:18" s="7" customFormat="1" ht="15" customHeight="1">
      <c r="A5" s="19"/>
    </row>
    <row r="6" spans="1:18" s="7" customFormat="1" ht="15" customHeight="1">
      <c r="A6" s="19"/>
    </row>
    <row r="7" spans="1:18" s="7" customFormat="1" ht="15" customHeight="1">
      <c r="A7" s="19"/>
    </row>
    <row r="8" spans="1:18" s="7" customFormat="1" ht="15" customHeight="1">
      <c r="A8" s="19"/>
    </row>
    <row r="9" spans="1:18" s="7" customFormat="1" ht="15" customHeight="1">
      <c r="A9" s="19"/>
    </row>
    <row r="10" spans="1:18" s="7" customFormat="1" ht="15" customHeight="1">
      <c r="A10" s="19"/>
    </row>
    <row r="11" spans="1:18" s="7" customFormat="1" ht="15" customHeight="1">
      <c r="A11" s="19"/>
    </row>
    <row r="12" spans="1:18" s="7" customFormat="1" ht="15" customHeight="1">
      <c r="A12" s="19"/>
    </row>
    <row r="13" spans="1:18" s="7" customFormat="1" ht="15" customHeight="1">
      <c r="A13" s="19"/>
    </row>
    <row r="14" spans="1:18" s="7" customFormat="1" ht="15" customHeight="1">
      <c r="A14" s="19"/>
    </row>
    <row r="15" spans="1:18" s="7" customFormat="1" ht="15" customHeight="1">
      <c r="A15" s="19"/>
    </row>
    <row r="16" spans="1:18" s="7" customFormat="1" ht="15" customHeight="1">
      <c r="A16" s="19"/>
    </row>
    <row r="17" spans="1:1" s="7" customFormat="1" ht="15" customHeight="1">
      <c r="A17" s="19"/>
    </row>
    <row r="18" spans="1:1" s="7" customFormat="1" ht="15" customHeight="1">
      <c r="A18" s="19"/>
    </row>
    <row r="19" spans="1:1" s="7" customFormat="1" ht="15" customHeight="1">
      <c r="A19" s="19"/>
    </row>
    <row r="20" spans="1:1" s="7" customFormat="1" ht="15" customHeight="1">
      <c r="A20" s="19"/>
    </row>
    <row r="21" spans="1:1" s="7" customFormat="1" ht="15" customHeight="1">
      <c r="A21" s="19"/>
    </row>
    <row r="22" spans="1:1" s="7" customFormat="1" ht="15" customHeight="1">
      <c r="A22" s="19"/>
    </row>
    <row r="23" spans="1:1" s="7" customFormat="1" ht="15" customHeight="1">
      <c r="A23" s="19"/>
    </row>
    <row r="24" spans="1:1" s="7" customFormat="1" ht="15" customHeight="1">
      <c r="A24" s="19"/>
    </row>
    <row r="25" spans="1:1" s="7" customFormat="1" ht="15" customHeight="1">
      <c r="A25" s="19"/>
    </row>
    <row r="26" spans="1:1" s="7" customFormat="1" ht="15" customHeight="1">
      <c r="A26" s="19"/>
    </row>
    <row r="27" spans="1:1" s="7" customFormat="1" ht="15" customHeight="1">
      <c r="A27" s="19"/>
    </row>
    <row r="28" spans="1:1" s="7" customFormat="1" ht="15" customHeight="1">
      <c r="A28" s="19"/>
    </row>
    <row r="29" spans="1:1" s="7" customFormat="1" ht="15" customHeight="1">
      <c r="A29" s="19"/>
    </row>
    <row r="30" spans="1:1" s="7" customFormat="1" ht="15" customHeight="1">
      <c r="A30" s="19"/>
    </row>
    <row r="31" spans="1:1" s="7" customFormat="1" ht="15" customHeight="1">
      <c r="A31" s="19"/>
    </row>
    <row r="32" spans="1:1" s="7" customFormat="1" ht="15" customHeight="1">
      <c r="A32" s="19"/>
    </row>
    <row r="33" spans="1:1" s="7" customFormat="1" ht="15" customHeight="1">
      <c r="A33" s="19"/>
    </row>
    <row r="34" spans="1:1" s="7" customFormat="1" ht="15" customHeight="1">
      <c r="A34" s="19"/>
    </row>
    <row r="35" spans="1:1" s="7" customFormat="1" ht="15" hidden="1" customHeight="1">
      <c r="A35" s="4"/>
    </row>
    <row r="36" spans="1:1" s="7" customFormat="1" ht="15" hidden="1" customHeight="1">
      <c r="A36" s="4"/>
    </row>
    <row r="37" spans="1:1" s="7" customFormat="1" ht="15" hidden="1" customHeight="1">
      <c r="A37" s="4"/>
    </row>
    <row r="38" spans="1:1" s="7" customFormat="1" hidden="1">
      <c r="A38" s="4"/>
    </row>
    <row r="39" spans="1:1" s="7" customFormat="1" hidden="1">
      <c r="A39" s="4"/>
    </row>
    <row r="40" spans="1:1" s="7" customFormat="1" hidden="1">
      <c r="A40" s="4"/>
    </row>
    <row r="41" spans="1:1" s="7" customFormat="1" hidden="1">
      <c r="A41" s="4"/>
    </row>
    <row r="42" spans="1:1" s="7" customFormat="1" hidden="1">
      <c r="A42" s="4"/>
    </row>
    <row r="43" spans="1:1" s="7" customFormat="1" hidden="1">
      <c r="A43" s="4"/>
    </row>
    <row r="44" spans="1:1" s="7" customFormat="1" hidden="1">
      <c r="A44" s="4"/>
    </row>
    <row r="45" spans="1:1" s="7" customFormat="1" hidden="1">
      <c r="A45" s="4"/>
    </row>
    <row r="46" spans="1:1" s="7" customFormat="1" hidden="1">
      <c r="A46" s="4"/>
    </row>
    <row r="47" spans="1:1" s="7" customFormat="1" hidden="1">
      <c r="A47" s="4"/>
    </row>
    <row r="48" spans="1:1" s="7" customFormat="1" hidden="1">
      <c r="A48" s="4"/>
    </row>
    <row r="49" spans="1:1" s="7" customFormat="1" hidden="1">
      <c r="A49" s="4"/>
    </row>
    <row r="50" spans="1:1" s="7" customFormat="1" hidden="1">
      <c r="A50" s="4"/>
    </row>
    <row r="51" spans="1:1" s="7" customFormat="1" hidden="1">
      <c r="A51" s="4"/>
    </row>
    <row r="52" spans="1:1" s="7" customFormat="1" hidden="1">
      <c r="A52" s="4"/>
    </row>
    <row r="53" spans="1:1" s="7" customFormat="1" hidden="1">
      <c r="A53" s="4"/>
    </row>
    <row r="54" spans="1:1" s="7" customFormat="1" hidden="1">
      <c r="A54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Fernando Aguiar Sampaio</cp:lastModifiedBy>
  <dcterms:created xsi:type="dcterms:W3CDTF">2024-12-19T13:13:10Z</dcterms:created>
  <dcterms:modified xsi:type="dcterms:W3CDTF">2026-02-15T20:59:29Z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